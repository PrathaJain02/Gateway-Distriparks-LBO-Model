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BO\"/>
    </mc:Choice>
  </mc:AlternateContent>
  <xr:revisionPtr revIDLastSave="0" documentId="13_ncr:1_{7D412FC1-3AD2-43D4-8D45-8E1BF85E1733}" xr6:coauthVersionLast="47" xr6:coauthVersionMax="47" xr10:uidLastSave="{00000000-0000-0000-0000-000000000000}"/>
  <bookViews>
    <workbookView xWindow="-110" yWindow="-110" windowWidth="19420" windowHeight="10300" xr2:uid="{74291245-C1F0-4E18-852F-A778C66CF26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C23" i="1" s="1"/>
  <c r="H79" i="1"/>
  <c r="G79" i="1"/>
  <c r="F79" i="1"/>
  <c r="E79" i="1"/>
  <c r="D79" i="1"/>
  <c r="F78" i="1"/>
  <c r="E78" i="1"/>
  <c r="G78" i="1"/>
  <c r="H78" i="1"/>
  <c r="D78" i="1"/>
  <c r="D76" i="1"/>
  <c r="E76" i="1"/>
  <c r="F76" i="1"/>
  <c r="G76" i="1"/>
  <c r="H76" i="1"/>
  <c r="C76" i="1"/>
  <c r="D75" i="1"/>
  <c r="E75" i="1"/>
  <c r="F75" i="1"/>
  <c r="G75" i="1"/>
  <c r="H75" i="1"/>
  <c r="C75" i="1"/>
  <c r="D74" i="1"/>
  <c r="E74" i="1"/>
  <c r="F74" i="1"/>
  <c r="G74" i="1"/>
  <c r="H74" i="1"/>
  <c r="C74" i="1"/>
  <c r="D73" i="1"/>
  <c r="E73" i="1"/>
  <c r="F73" i="1"/>
  <c r="G73" i="1"/>
  <c r="H73" i="1"/>
  <c r="C73" i="1"/>
  <c r="G31" i="1"/>
  <c r="H72" i="1"/>
  <c r="F72" i="1"/>
  <c r="G72" i="1"/>
  <c r="D72" i="1"/>
  <c r="E72" i="1"/>
  <c r="C72" i="1"/>
  <c r="C39" i="1"/>
  <c r="D39" i="1"/>
  <c r="E39" i="1"/>
  <c r="F39" i="1"/>
  <c r="B39" i="1"/>
  <c r="G59" i="1"/>
  <c r="G48" i="1"/>
  <c r="G60" i="1" s="1"/>
  <c r="H57" i="1"/>
  <c r="G57" i="1"/>
  <c r="F59" i="1"/>
  <c r="H44" i="1"/>
  <c r="H45" i="1" s="1"/>
  <c r="H58" i="1" s="1"/>
  <c r="G35" i="1" s="1"/>
  <c r="F48" i="1"/>
  <c r="F60" i="1" s="1"/>
  <c r="F68" i="1"/>
  <c r="F57" i="1"/>
  <c r="E59" i="1"/>
  <c r="E48" i="1"/>
  <c r="F44" i="1" s="1"/>
  <c r="E47" i="1"/>
  <c r="E68" i="1"/>
  <c r="D59" i="1"/>
  <c r="E57" i="1"/>
  <c r="E58" i="1"/>
  <c r="D60" i="1"/>
  <c r="D35" i="1"/>
  <c r="E44" i="1"/>
  <c r="D48" i="1"/>
  <c r="D47" i="1"/>
  <c r="C36" i="1"/>
  <c r="C35" i="1"/>
  <c r="D58" i="1"/>
  <c r="D57" i="1"/>
  <c r="D64" i="1"/>
  <c r="E45" i="1"/>
  <c r="D36" i="1" s="1"/>
  <c r="E46" i="1"/>
  <c r="F46" i="1"/>
  <c r="G46" i="1"/>
  <c r="H46" i="1"/>
  <c r="D46" i="1"/>
  <c r="C48" i="1"/>
  <c r="D68" i="1"/>
  <c r="C68" i="1"/>
  <c r="C64" i="1"/>
  <c r="C38" i="1"/>
  <c r="B38" i="1"/>
  <c r="C37" i="1"/>
  <c r="B37" i="1"/>
  <c r="B36" i="1"/>
  <c r="E67" i="1"/>
  <c r="F67" i="1"/>
  <c r="G67" i="1"/>
  <c r="H67" i="1"/>
  <c r="D67" i="1"/>
  <c r="C67" i="1"/>
  <c r="E66" i="1"/>
  <c r="F66" i="1"/>
  <c r="G66" i="1"/>
  <c r="H66" i="1"/>
  <c r="D66" i="1"/>
  <c r="C66" i="1"/>
  <c r="F65" i="1"/>
  <c r="E65" i="1"/>
  <c r="G65" i="1"/>
  <c r="H65" i="1"/>
  <c r="D65" i="1"/>
  <c r="C65" i="1"/>
  <c r="C60" i="1"/>
  <c r="H52" i="1"/>
  <c r="G52" i="1"/>
  <c r="F52" i="1"/>
  <c r="E52" i="1"/>
  <c r="H54" i="1"/>
  <c r="H53" i="1"/>
  <c r="H51" i="1"/>
  <c r="G51" i="1"/>
  <c r="F51" i="1"/>
  <c r="E51" i="1"/>
  <c r="G54" i="1"/>
  <c r="F54" i="1"/>
  <c r="E54" i="1"/>
  <c r="D54" i="1"/>
  <c r="D52" i="1"/>
  <c r="D51" i="1"/>
  <c r="C54" i="1"/>
  <c r="D45" i="1"/>
  <c r="D44" i="1"/>
  <c r="G44" i="1" l="1"/>
  <c r="F45" i="1"/>
  <c r="F58" i="1" s="1"/>
  <c r="E35" i="1" s="1"/>
  <c r="E36" i="1" s="1"/>
  <c r="E60" i="1"/>
  <c r="D37" i="1"/>
  <c r="D38" i="1"/>
  <c r="E64" i="1" s="1"/>
  <c r="G45" i="1" l="1"/>
  <c r="G58" i="1" s="1"/>
  <c r="F35" i="1" s="1"/>
  <c r="F36" i="1" s="1"/>
  <c r="E37" i="1"/>
  <c r="E38" i="1"/>
  <c r="F64" i="1" s="1"/>
  <c r="F37" i="1" l="1"/>
  <c r="F38" i="1" s="1"/>
  <c r="G64" i="1" s="1"/>
  <c r="G68" i="1" s="1"/>
  <c r="G47" i="1" s="1"/>
  <c r="F47" i="1"/>
  <c r="B35" i="1" l="1"/>
  <c r="B33" i="1"/>
  <c r="B25" i="1"/>
  <c r="B24" i="1"/>
  <c r="B20" i="1"/>
  <c r="B19" i="1"/>
  <c r="C19" i="1" s="1"/>
  <c r="I6" i="1"/>
  <c r="H6" i="1"/>
  <c r="G6" i="1"/>
  <c r="F6" i="1"/>
  <c r="E6" i="1"/>
  <c r="B15" i="1"/>
  <c r="B11" i="1"/>
  <c r="G20" i="1" s="1"/>
  <c r="B7" i="1"/>
  <c r="B10" i="1" s="1"/>
  <c r="B6" i="1"/>
  <c r="B29" i="1" s="1"/>
  <c r="C29" i="1" s="1"/>
  <c r="D29" i="1" l="1"/>
  <c r="C31" i="1"/>
  <c r="C30" i="1"/>
  <c r="C33" i="1"/>
  <c r="B31" i="1"/>
  <c r="C20" i="1"/>
  <c r="B12" i="1"/>
  <c r="B8" i="1"/>
  <c r="C21" i="1" a="1"/>
  <c r="C21" i="1" s="1"/>
  <c r="G19" i="1"/>
  <c r="H19" i="1"/>
  <c r="H20" i="1"/>
  <c r="B13" i="1"/>
  <c r="B21" i="1"/>
  <c r="C32" i="1" l="1"/>
  <c r="C34" i="1"/>
  <c r="B34" i="1"/>
  <c r="B32" i="1"/>
  <c r="D30" i="1"/>
  <c r="D33" i="1"/>
  <c r="E29" i="1"/>
  <c r="D31" i="1"/>
  <c r="G21" i="1"/>
  <c r="G22" i="1" s="1"/>
  <c r="I20" i="1" s="1"/>
  <c r="H21" i="1"/>
  <c r="H22" i="1" s="1"/>
  <c r="B14" i="1"/>
  <c r="D21" i="1" s="1"/>
  <c r="D32" i="1" l="1"/>
  <c r="D34" i="1"/>
  <c r="F29" i="1"/>
  <c r="E33" i="1"/>
  <c r="E30" i="1"/>
  <c r="E31" i="1"/>
  <c r="B23" i="1"/>
  <c r="D20" i="1"/>
  <c r="D19" i="1"/>
  <c r="I19" i="1"/>
  <c r="B22" i="1"/>
  <c r="D22" i="1"/>
  <c r="I21" i="1"/>
  <c r="E34" i="1" l="1"/>
  <c r="E32" i="1"/>
  <c r="F31" i="1"/>
  <c r="G29" i="1"/>
  <c r="F30" i="1"/>
  <c r="F33" i="1"/>
  <c r="I22" i="1" a="1"/>
  <c r="I22" i="1" s="1"/>
  <c r="G30" i="1" l="1"/>
  <c r="G33" i="1"/>
  <c r="F34" i="1"/>
  <c r="F32" i="1"/>
  <c r="G34" i="1" l="1"/>
  <c r="G36" i="1" s="1"/>
  <c r="G37" i="1" s="1"/>
  <c r="G38" i="1" s="1"/>
  <c r="G32" i="1"/>
  <c r="H64" i="1" l="1"/>
  <c r="H68" i="1" s="1"/>
  <c r="H47" i="1" s="1"/>
  <c r="G39" i="1"/>
  <c r="H48" i="1" l="1"/>
  <c r="H60" i="1" s="1"/>
  <c r="H59" i="1"/>
</calcChain>
</file>

<file path=xl/sharedStrings.xml><?xml version="1.0" encoding="utf-8"?>
<sst xmlns="http://schemas.openxmlformats.org/spreadsheetml/2006/main" count="106" uniqueCount="80">
  <si>
    <t>TRANSACTIONS &amp; OPERATING ASSUMPTIONS</t>
  </si>
  <si>
    <t>Entry assumptions/ actuals</t>
  </si>
  <si>
    <t>LTM Revenue (FY25A)</t>
  </si>
  <si>
    <t>LTM EBITDA (FY25A)</t>
  </si>
  <si>
    <t>EBITDA Margin</t>
  </si>
  <si>
    <t>EBITDA Margin (FY25A)</t>
  </si>
  <si>
    <t xml:space="preserve">Entry EV/EBITDA Multiple </t>
  </si>
  <si>
    <t>Enterprise Value</t>
  </si>
  <si>
    <t>Equity purchase price</t>
  </si>
  <si>
    <t>Fees &amp; Expenses</t>
  </si>
  <si>
    <t>Total equiy required</t>
  </si>
  <si>
    <t>Exit EV/EBITDA Multiple</t>
  </si>
  <si>
    <t>Opearating Assumptions Year-1: Year-5</t>
  </si>
  <si>
    <t>Revenue Growth</t>
  </si>
  <si>
    <t>Capex % Rev</t>
  </si>
  <si>
    <t>D&amp;A % Rev</t>
  </si>
  <si>
    <t>NWC % Rev</t>
  </si>
  <si>
    <t>Term Loan A rate</t>
  </si>
  <si>
    <t>NCD / HY Bond rate</t>
  </si>
  <si>
    <t>SOURCES AND USES</t>
  </si>
  <si>
    <t>SOURCES</t>
  </si>
  <si>
    <t xml:space="preserve">  Total Debt</t>
  </si>
  <si>
    <t xml:space="preserve">  Sponsor Equity</t>
  </si>
  <si>
    <t xml:space="preserve">  Total Sources</t>
  </si>
  <si>
    <t>Amount</t>
  </si>
  <si>
    <t>× EBITDA</t>
  </si>
  <si>
    <t>% Capital</t>
  </si>
  <si>
    <t>USES</t>
  </si>
  <si>
    <t xml:space="preserve">  Equity Purchase</t>
  </si>
  <si>
    <t xml:space="preserve">  Retire Net Debt</t>
  </si>
  <si>
    <t xml:space="preserve">  Fees &amp; Expenses</t>
  </si>
  <si>
    <t xml:space="preserve">  Total Uses</t>
  </si>
  <si>
    <t>Existing net Debt</t>
  </si>
  <si>
    <t>FINANCIAL PROJECTIONS (₹ Crore)</t>
  </si>
  <si>
    <t>FY25A (Yr0)</t>
  </si>
  <si>
    <t>Year 1</t>
  </si>
  <si>
    <t>Year 2</t>
  </si>
  <si>
    <t>Year 3</t>
  </si>
  <si>
    <t>Year 4</t>
  </si>
  <si>
    <t>Year 5</t>
  </si>
  <si>
    <t>Revenue</t>
  </si>
  <si>
    <t>EBITDA</t>
  </si>
  <si>
    <t>Depreciation &amp; Amortisation</t>
  </si>
  <si>
    <t>EBIT  (Operating Profit)</t>
  </si>
  <si>
    <t>Interest Expense (Total)</t>
  </si>
  <si>
    <t>EBT</t>
  </si>
  <si>
    <t>Tax (@ 25.17%)</t>
  </si>
  <si>
    <t>Net Income  (PAT)</t>
  </si>
  <si>
    <t>% Growth</t>
  </si>
  <si>
    <t>% Margin</t>
  </si>
  <si>
    <t>DEBT SCHEDULE</t>
  </si>
  <si>
    <t>Term Loan A  (Bank Debt — 9.00% p.a.)</t>
  </si>
  <si>
    <t xml:space="preserve">  Beginning Balance</t>
  </si>
  <si>
    <t xml:space="preserve">  Interest</t>
  </si>
  <si>
    <t xml:space="preserve">  Mandatory Amortisation (10%/yr)</t>
  </si>
  <si>
    <t xml:space="preserve">  Excess Cash Sweep</t>
  </si>
  <si>
    <t xml:space="preserve">  Ending Balance</t>
  </si>
  <si>
    <t>NCD / HY Bond  (11.75% p.a. — Bullet at Exit)</t>
  </si>
  <si>
    <t xml:space="preserve">  Repayment (Bullet Yr5)</t>
  </si>
  <si>
    <t>Total Debt Summary</t>
  </si>
  <si>
    <t xml:space="preserve">  Total Interest</t>
  </si>
  <si>
    <t xml:space="preserve">  Total Repayment</t>
  </si>
  <si>
    <t>Yr 0</t>
  </si>
  <si>
    <t>Term Loan B (NCD/HY Bond)</t>
  </si>
  <si>
    <t>Term Loan A</t>
  </si>
  <si>
    <t>LEVERAGED FREE CASH FLOW (₹ Crore)</t>
  </si>
  <si>
    <t xml:space="preserve">  (+) Net Income</t>
  </si>
  <si>
    <t xml:space="preserve">  (+) D&amp;A</t>
  </si>
  <si>
    <t xml:space="preserve">  (-) Capex</t>
  </si>
  <si>
    <t xml:space="preserve">  (-) Change in NWC</t>
  </si>
  <si>
    <t xml:space="preserve"> Levered Free Cash Flow</t>
  </si>
  <si>
    <t>EXIT VALUATION AND RETURNS ANALYSIS</t>
  </si>
  <si>
    <t xml:space="preserve">  LTM EBITDA at Exit</t>
  </si>
  <si>
    <t xml:space="preserve">  Exit EV/EBITDA Multiple</t>
  </si>
  <si>
    <t xml:space="preserve">  Exit Enterprise Value</t>
  </si>
  <si>
    <t xml:space="preserve">  (-) Net Debt at Exit</t>
  </si>
  <si>
    <t xml:space="preserve">  = Exit Equity Value</t>
  </si>
  <si>
    <t xml:space="preserve">  MoC (Money-on-Cash Multiple)</t>
  </si>
  <si>
    <t xml:space="preserve">  Equity IRR (CAGR of Equity)</t>
  </si>
  <si>
    <t xml:space="preserve">LEVERAGED BUYOUT (LBO) MODEL - GATEWAY DISTRIPARKS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</si>
</sst>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x&quot;"/>
    <numFmt numFmtId="165" formatCode="&quot;₹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.5"/>
      <color theme="1"/>
      <name val="Arial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9"/>
      <color theme="1" tint="0.34998626667073579"/>
      <name val="Arial"/>
      <family val="2"/>
    </font>
    <font>
      <b/>
      <i/>
      <sz val="9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2E509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4" fillId="5" borderId="0" xfId="0" applyFont="1" applyFill="1"/>
    <xf numFmtId="165" fontId="4" fillId="5" borderId="0" xfId="0" applyNumberFormat="1" applyFont="1" applyFill="1"/>
    <xf numFmtId="10" fontId="5" fillId="0" borderId="0" xfId="0" applyNumberFormat="1" applyFont="1"/>
    <xf numFmtId="0" fontId="4" fillId="0" borderId="0" xfId="0" applyFont="1"/>
    <xf numFmtId="9" fontId="5" fillId="0" borderId="0" xfId="0" applyNumberFormat="1" applyFont="1"/>
    <xf numFmtId="1" fontId="4" fillId="0" borderId="0" xfId="0" applyNumberFormat="1" applyFont="1"/>
    <xf numFmtId="10" fontId="4" fillId="0" borderId="0" xfId="0" applyNumberFormat="1" applyFont="1"/>
    <xf numFmtId="164" fontId="4" fillId="0" borderId="0" xfId="0" applyNumberFormat="1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4" fillId="0" borderId="0" xfId="1" applyNumberFormat="1" applyFont="1"/>
    <xf numFmtId="0" fontId="1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/>
    </xf>
    <xf numFmtId="0" fontId="4" fillId="4" borderId="0" xfId="0" applyFont="1" applyFill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/>
    <xf numFmtId="10" fontId="14" fillId="0" borderId="0" xfId="0" applyNumberFormat="1" applyFont="1"/>
    <xf numFmtId="1" fontId="4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A06F-58CC-42F4-A6BF-320D4DFCC0D3}">
  <dimension ref="A1:Q79"/>
  <sheetViews>
    <sheetView tabSelected="1" workbookViewId="0">
      <selection activeCell="A3" sqref="A3"/>
    </sheetView>
  </sheetViews>
  <sheetFormatPr defaultRowHeight="12" x14ac:dyDescent="0.3"/>
  <cols>
    <col min="1" max="1" width="25.81640625" style="1" bestFit="1" customWidth="1"/>
    <col min="2" max="3" width="8.7265625" style="1"/>
    <col min="4" max="4" width="14.90625" style="1" bestFit="1" customWidth="1"/>
    <col min="5" max="5" width="9.1796875" style="1" bestFit="1" customWidth="1"/>
    <col min="6" max="6" width="14.6328125" style="1" bestFit="1" customWidth="1"/>
    <col min="7" max="7" width="8.81640625" style="1" bestFit="1" customWidth="1"/>
    <col min="8" max="8" width="9.08984375" style="1" bestFit="1" customWidth="1"/>
    <col min="9" max="10" width="8.7265625" style="1"/>
    <col min="11" max="11" width="21.81640625" style="1" bestFit="1" customWidth="1"/>
    <col min="12" max="16384" width="8.7265625" style="1"/>
  </cols>
  <sheetData>
    <row r="1" spans="1:17" x14ac:dyDescent="0.3">
      <c r="A1" s="34" t="s">
        <v>79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4" spans="1:17" ht="13" x14ac:dyDescent="0.3">
      <c r="A4" s="33" t="s">
        <v>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ht="13" x14ac:dyDescent="0.3">
      <c r="A5" s="35" t="s">
        <v>1</v>
      </c>
      <c r="B5" s="35"/>
      <c r="D5" s="36" t="s">
        <v>12</v>
      </c>
      <c r="E5" s="36"/>
      <c r="F5" s="36"/>
      <c r="G5" s="36"/>
      <c r="H5" s="36"/>
      <c r="I5" s="36"/>
      <c r="K5" s="7"/>
      <c r="L5" s="7"/>
      <c r="M5" s="8"/>
    </row>
    <row r="6" spans="1:17" x14ac:dyDescent="0.3">
      <c r="A6" s="1" t="s">
        <v>2</v>
      </c>
      <c r="B6" s="1">
        <f>1860</f>
        <v>1860</v>
      </c>
      <c r="D6" s="1" t="s">
        <v>13</v>
      </c>
      <c r="E6" s="9">
        <f>10%</f>
        <v>0.1</v>
      </c>
      <c r="F6" s="9">
        <f>10%</f>
        <v>0.1</v>
      </c>
      <c r="G6" s="9">
        <f>9%</f>
        <v>0.09</v>
      </c>
      <c r="H6" s="9">
        <f>9%</f>
        <v>0.09</v>
      </c>
      <c r="I6" s="9">
        <f>8%</f>
        <v>0.08</v>
      </c>
      <c r="L6" s="2"/>
      <c r="M6" s="10"/>
    </row>
    <row r="7" spans="1:17" x14ac:dyDescent="0.3">
      <c r="A7" s="1" t="s">
        <v>3</v>
      </c>
      <c r="B7" s="1">
        <f>417</f>
        <v>417</v>
      </c>
      <c r="D7" s="1" t="s">
        <v>4</v>
      </c>
      <c r="E7" s="9">
        <v>0.22500000000000001</v>
      </c>
      <c r="F7" s="9">
        <v>0.23</v>
      </c>
      <c r="G7" s="9">
        <v>0.23499999999999999</v>
      </c>
      <c r="H7" s="11">
        <v>0.24</v>
      </c>
      <c r="I7" s="9">
        <v>0.24</v>
      </c>
      <c r="L7" s="2"/>
      <c r="M7" s="12"/>
    </row>
    <row r="8" spans="1:17" x14ac:dyDescent="0.3">
      <c r="A8" s="1" t="s">
        <v>5</v>
      </c>
      <c r="B8" s="13">
        <f>B7/B6</f>
        <v>0.22419354838709676</v>
      </c>
      <c r="D8" s="1" t="s">
        <v>15</v>
      </c>
      <c r="E8" s="9">
        <v>5.7000000000000002E-2</v>
      </c>
      <c r="F8" s="9">
        <v>5.6000000000000001E-2</v>
      </c>
      <c r="G8" s="9">
        <v>5.5E-2</v>
      </c>
      <c r="H8" s="9">
        <v>5.3999999999999999E-2</v>
      </c>
      <c r="I8" s="9">
        <v>5.2999999999999999E-2</v>
      </c>
      <c r="L8" s="14"/>
      <c r="M8" s="12"/>
    </row>
    <row r="9" spans="1:17" x14ac:dyDescent="0.3">
      <c r="A9" s="1" t="s">
        <v>6</v>
      </c>
      <c r="B9" s="2">
        <v>7.5</v>
      </c>
      <c r="D9" s="1" t="s">
        <v>14</v>
      </c>
      <c r="E9" s="11">
        <v>0.06</v>
      </c>
      <c r="F9" s="9">
        <v>5.5E-2</v>
      </c>
      <c r="G9" s="11">
        <v>0.05</v>
      </c>
      <c r="H9" s="9">
        <v>4.8000000000000001E-2</v>
      </c>
      <c r="I9" s="9">
        <v>4.4999999999999998E-2</v>
      </c>
      <c r="L9" s="14"/>
      <c r="M9" s="3"/>
    </row>
    <row r="10" spans="1:17" x14ac:dyDescent="0.3">
      <c r="A10" s="1" t="s">
        <v>7</v>
      </c>
      <c r="B10" s="12">
        <f>B9*B7</f>
        <v>3127.5</v>
      </c>
      <c r="D10" s="1" t="s">
        <v>16</v>
      </c>
      <c r="E10" s="11">
        <v>0.05</v>
      </c>
      <c r="F10" s="11">
        <v>0.05</v>
      </c>
      <c r="G10" s="11">
        <v>0.05</v>
      </c>
      <c r="H10" s="11">
        <v>0.05</v>
      </c>
      <c r="I10" s="11">
        <v>0.05</v>
      </c>
      <c r="L10" s="14"/>
      <c r="M10" s="12"/>
    </row>
    <row r="11" spans="1:17" x14ac:dyDescent="0.3">
      <c r="A11" s="1" t="s">
        <v>32</v>
      </c>
      <c r="B11" s="1">
        <f>210</f>
        <v>210</v>
      </c>
    </row>
    <row r="12" spans="1:17" x14ac:dyDescent="0.3">
      <c r="A12" s="1" t="s">
        <v>8</v>
      </c>
      <c r="B12" s="12">
        <f>B10+B11</f>
        <v>3337.5</v>
      </c>
    </row>
    <row r="13" spans="1:17" x14ac:dyDescent="0.3">
      <c r="A13" s="1" t="s">
        <v>9</v>
      </c>
      <c r="B13" s="12">
        <f>B10*0.01</f>
        <v>31.275000000000002</v>
      </c>
    </row>
    <row r="14" spans="1:17" x14ac:dyDescent="0.3">
      <c r="A14" s="1" t="s">
        <v>10</v>
      </c>
      <c r="B14" s="12">
        <f>B12+B13</f>
        <v>3368.7750000000001</v>
      </c>
    </row>
    <row r="15" spans="1:17" x14ac:dyDescent="0.3">
      <c r="A15" s="1" t="s">
        <v>11</v>
      </c>
      <c r="B15" s="2">
        <f>9</f>
        <v>9</v>
      </c>
    </row>
    <row r="17" spans="1:17" ht="13" x14ac:dyDescent="0.3">
      <c r="A17" s="33" t="s">
        <v>19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1:17" ht="13" x14ac:dyDescent="0.3">
      <c r="A18" s="24" t="s">
        <v>20</v>
      </c>
      <c r="B18" s="25" t="s">
        <v>25</v>
      </c>
      <c r="C18" s="25" t="s">
        <v>24</v>
      </c>
      <c r="D18" s="25" t="s">
        <v>26</v>
      </c>
      <c r="F18" s="26" t="s">
        <v>27</v>
      </c>
      <c r="G18" s="27" t="s">
        <v>24</v>
      </c>
      <c r="H18" s="27" t="s">
        <v>25</v>
      </c>
      <c r="I18" s="27" t="s">
        <v>26</v>
      </c>
    </row>
    <row r="19" spans="1:17" x14ac:dyDescent="0.3">
      <c r="A19" s="16" t="s">
        <v>64</v>
      </c>
      <c r="B19" s="17">
        <f>3</f>
        <v>3</v>
      </c>
      <c r="C19" s="21">
        <f>B19*B7</f>
        <v>1251</v>
      </c>
      <c r="D19" s="22">
        <f>C19/C23</f>
        <v>0.3495609531194333</v>
      </c>
      <c r="F19" s="16" t="s">
        <v>28</v>
      </c>
      <c r="G19" s="3">
        <f>B12</f>
        <v>3337.5</v>
      </c>
      <c r="H19" s="14">
        <f>B12/B7</f>
        <v>8.0035971223021587</v>
      </c>
      <c r="I19" s="23">
        <f>IFERROR(G19/G22,0)</f>
        <v>0.93258167948529869</v>
      </c>
    </row>
    <row r="20" spans="1:17" x14ac:dyDescent="0.3">
      <c r="A20" s="16" t="s">
        <v>63</v>
      </c>
      <c r="B20" s="17">
        <f>1.5</f>
        <v>1.5</v>
      </c>
      <c r="C20" s="31">
        <f>B20*B7</f>
        <v>625.5</v>
      </c>
      <c r="D20" s="22">
        <f>C20/C23</f>
        <v>0.17478047655971665</v>
      </c>
      <c r="F20" s="16" t="s">
        <v>29</v>
      </c>
      <c r="G20" s="1">
        <f>B11</f>
        <v>210</v>
      </c>
      <c r="H20" s="14">
        <f>B11/B7</f>
        <v>0.50359712230215825</v>
      </c>
      <c r="I20" s="23">
        <f>IFERROR(G20/G22,0)</f>
        <v>5.8679296686715426E-2</v>
      </c>
    </row>
    <row r="21" spans="1:17" x14ac:dyDescent="0.3">
      <c r="A21" s="15" t="s">
        <v>21</v>
      </c>
      <c r="B21" s="20">
        <f>SUM(B19:B20)</f>
        <v>4.5</v>
      </c>
      <c r="C21" s="31">
        <f t="array" ref="C21">SUM(C19:C20)</f>
        <v>1876.5</v>
      </c>
      <c r="D21" s="22">
        <f>C21/C23</f>
        <v>0.52434142967914998</v>
      </c>
      <c r="F21" s="16" t="s">
        <v>30</v>
      </c>
      <c r="G21" s="3">
        <f>B13</f>
        <v>31.275000000000002</v>
      </c>
      <c r="H21" s="14">
        <f>B13/B7</f>
        <v>7.5000000000000011E-2</v>
      </c>
      <c r="I21" s="23">
        <f>IFERROR(G21/G22,0)</f>
        <v>8.739023827985833E-3</v>
      </c>
    </row>
    <row r="22" spans="1:17" x14ac:dyDescent="0.3">
      <c r="A22" s="16" t="s">
        <v>22</v>
      </c>
      <c r="B22" s="20">
        <f>C22/B7</f>
        <v>4.0821942446043167</v>
      </c>
      <c r="C22" s="31">
        <f>G22-C21</f>
        <v>1702.2750000000001</v>
      </c>
      <c r="D22" s="22">
        <f>C22/C23</f>
        <v>0.47565857032085002</v>
      </c>
      <c r="F22" s="15" t="s">
        <v>31</v>
      </c>
      <c r="G22" s="3">
        <f>SUM(G19:G21)</f>
        <v>3578.7750000000001</v>
      </c>
      <c r="H22" s="14">
        <f>SUM(H19:H21)</f>
        <v>8.5821942446043167</v>
      </c>
      <c r="I22" s="13">
        <f t="array" ref="I22">SUM(I19:I21)</f>
        <v>1</v>
      </c>
    </row>
    <row r="23" spans="1:17" x14ac:dyDescent="0.3">
      <c r="A23" s="15" t="s">
        <v>23</v>
      </c>
      <c r="B23" s="20">
        <f>C23/B7</f>
        <v>8.5821942446043167</v>
      </c>
      <c r="C23" s="31">
        <f>SUM(C21:C22)</f>
        <v>3578.7750000000001</v>
      </c>
      <c r="D23" s="19"/>
    </row>
    <row r="24" spans="1:17" x14ac:dyDescent="0.3">
      <c r="A24" s="1" t="s">
        <v>17</v>
      </c>
      <c r="B24" s="19">
        <f>9%</f>
        <v>0.09</v>
      </c>
      <c r="C24" s="18"/>
      <c r="D24" s="18"/>
    </row>
    <row r="25" spans="1:17" x14ac:dyDescent="0.3">
      <c r="A25" s="1" t="s">
        <v>18</v>
      </c>
      <c r="B25" s="19">
        <f>11.75%</f>
        <v>0.11749999999999999</v>
      </c>
      <c r="C25" s="18"/>
      <c r="D25" s="18"/>
    </row>
    <row r="27" spans="1:17" ht="13" x14ac:dyDescent="0.3">
      <c r="A27" s="33" t="s">
        <v>33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17" x14ac:dyDescent="0.3">
      <c r="B28" s="6" t="s">
        <v>34</v>
      </c>
      <c r="C28" s="6" t="s">
        <v>35</v>
      </c>
      <c r="D28" s="6" t="s">
        <v>36</v>
      </c>
      <c r="E28" s="6" t="s">
        <v>37</v>
      </c>
      <c r="F28" s="6" t="s">
        <v>38</v>
      </c>
      <c r="G28" s="6" t="s">
        <v>39</v>
      </c>
    </row>
    <row r="29" spans="1:17" x14ac:dyDescent="0.3">
      <c r="A29" s="4" t="s">
        <v>40</v>
      </c>
      <c r="B29" s="1">
        <f>B6</f>
        <v>1860</v>
      </c>
      <c r="C29" s="1">
        <f>B29*(1+E6)</f>
        <v>2046.0000000000002</v>
      </c>
      <c r="D29" s="3">
        <f>C29*(1+F6)</f>
        <v>2250.6000000000004</v>
      </c>
      <c r="E29" s="3">
        <f>D29*(1+G6)</f>
        <v>2453.1540000000005</v>
      </c>
      <c r="F29" s="3">
        <f>E29*(1+H6)</f>
        <v>2673.9378600000009</v>
      </c>
      <c r="G29" s="3">
        <f>F29*(1+I6)</f>
        <v>2887.852888800001</v>
      </c>
    </row>
    <row r="30" spans="1:17" x14ac:dyDescent="0.3">
      <c r="A30" s="28" t="s">
        <v>48</v>
      </c>
      <c r="B30" s="29"/>
      <c r="C30" s="30">
        <f>C29/B29-1</f>
        <v>0.10000000000000009</v>
      </c>
      <c r="D30" s="30">
        <f t="shared" ref="D30:G30" si="0">D29/C29-1</f>
        <v>0.10000000000000009</v>
      </c>
      <c r="E30" s="30">
        <f t="shared" si="0"/>
        <v>9.000000000000008E-2</v>
      </c>
      <c r="F30" s="30">
        <f>F29/E29-1</f>
        <v>9.000000000000008E-2</v>
      </c>
      <c r="G30" s="30">
        <f t="shared" si="0"/>
        <v>8.0000000000000071E-2</v>
      </c>
    </row>
    <row r="31" spans="1:17" x14ac:dyDescent="0.3">
      <c r="A31" s="4" t="s">
        <v>41</v>
      </c>
      <c r="B31" s="1">
        <f>B7</f>
        <v>417</v>
      </c>
      <c r="C31" s="3">
        <f>C29*E7</f>
        <v>460.35000000000008</v>
      </c>
      <c r="D31" s="3">
        <f t="shared" ref="D31:F31" si="1">D29*F7</f>
        <v>517.63800000000015</v>
      </c>
      <c r="E31" s="3">
        <f t="shared" si="1"/>
        <v>576.49119000000007</v>
      </c>
      <c r="F31" s="3">
        <f t="shared" si="1"/>
        <v>641.74508640000022</v>
      </c>
      <c r="G31" s="3">
        <f>G29*I7</f>
        <v>693.08469331200024</v>
      </c>
    </row>
    <row r="32" spans="1:17" x14ac:dyDescent="0.3">
      <c r="A32" s="28" t="s">
        <v>49</v>
      </c>
      <c r="B32" s="30">
        <f>B31/B29</f>
        <v>0.22419354838709676</v>
      </c>
      <c r="C32" s="30">
        <f t="shared" ref="C32:G32" si="2">C31/C29</f>
        <v>0.22500000000000001</v>
      </c>
      <c r="D32" s="30">
        <f t="shared" si="2"/>
        <v>0.23000000000000004</v>
      </c>
      <c r="E32" s="30">
        <f t="shared" si="2"/>
        <v>0.23499999999999999</v>
      </c>
      <c r="F32" s="30">
        <f t="shared" si="2"/>
        <v>0.24</v>
      </c>
      <c r="G32" s="30">
        <f t="shared" si="2"/>
        <v>0.24</v>
      </c>
    </row>
    <row r="33" spans="1:17" x14ac:dyDescent="0.3">
      <c r="A33" s="5" t="s">
        <v>42</v>
      </c>
      <c r="B33" s="3">
        <f>107</f>
        <v>107</v>
      </c>
      <c r="C33" s="3">
        <f>C29*E8</f>
        <v>116.62200000000001</v>
      </c>
      <c r="D33" s="3">
        <f t="shared" ref="D33:G33" si="3">D29*F8</f>
        <v>126.03360000000002</v>
      </c>
      <c r="E33" s="3">
        <f t="shared" si="3"/>
        <v>134.92347000000004</v>
      </c>
      <c r="F33" s="3">
        <f t="shared" si="3"/>
        <v>144.39264444000005</v>
      </c>
      <c r="G33" s="3">
        <f t="shared" si="3"/>
        <v>153.05620310640003</v>
      </c>
    </row>
    <row r="34" spans="1:17" x14ac:dyDescent="0.3">
      <c r="A34" s="4" t="s">
        <v>43</v>
      </c>
      <c r="B34" s="3">
        <f>B31-B33</f>
        <v>310</v>
      </c>
      <c r="C34" s="3">
        <f t="shared" ref="C34:G34" si="4">C31-C33</f>
        <v>343.72800000000007</v>
      </c>
      <c r="D34" s="3">
        <f t="shared" si="4"/>
        <v>391.60440000000011</v>
      </c>
      <c r="E34" s="3">
        <f t="shared" si="4"/>
        <v>441.56772000000001</v>
      </c>
      <c r="F34" s="3">
        <f t="shared" si="4"/>
        <v>497.35244196000019</v>
      </c>
      <c r="G34" s="3">
        <f t="shared" si="4"/>
        <v>540.02849020560018</v>
      </c>
    </row>
    <row r="35" spans="1:17" x14ac:dyDescent="0.3">
      <c r="A35" s="5" t="s">
        <v>44</v>
      </c>
      <c r="B35" s="1">
        <f>0</f>
        <v>0</v>
      </c>
      <c r="C35" s="3">
        <f>D58</f>
        <v>186.08624999999998</v>
      </c>
      <c r="D35" s="3">
        <f>E58</f>
        <v>174.82724999999999</v>
      </c>
      <c r="E35" s="3">
        <f>F58</f>
        <v>163.56824999999998</v>
      </c>
      <c r="F35" s="3">
        <f>G58</f>
        <v>151.46048219390997</v>
      </c>
      <c r="G35" s="3">
        <f>H58</f>
        <v>134.32995980514312</v>
      </c>
    </row>
    <row r="36" spans="1:17" x14ac:dyDescent="0.3">
      <c r="A36" s="4" t="s">
        <v>45</v>
      </c>
      <c r="B36" s="3">
        <f t="shared" ref="B36:G36" si="5">B34-B35</f>
        <v>310</v>
      </c>
      <c r="C36" s="3">
        <f t="shared" si="5"/>
        <v>157.64175000000009</v>
      </c>
      <c r="D36" s="3">
        <f t="shared" si="5"/>
        <v>216.77715000000012</v>
      </c>
      <c r="E36" s="3">
        <f t="shared" si="5"/>
        <v>277.99947000000003</v>
      </c>
      <c r="F36" s="3">
        <f t="shared" si="5"/>
        <v>345.89195976609022</v>
      </c>
      <c r="G36" s="3">
        <f t="shared" si="5"/>
        <v>405.69853040045706</v>
      </c>
    </row>
    <row r="37" spans="1:17" x14ac:dyDescent="0.3">
      <c r="A37" s="32" t="s">
        <v>46</v>
      </c>
      <c r="B37" s="3">
        <f t="shared" ref="B37:G37" si="6">B36*0.2517</f>
        <v>78.026999999999987</v>
      </c>
      <c r="C37" s="3">
        <f t="shared" si="6"/>
        <v>39.678428475000018</v>
      </c>
      <c r="D37" s="3">
        <f t="shared" si="6"/>
        <v>54.562808655000026</v>
      </c>
      <c r="E37" s="3">
        <f t="shared" si="6"/>
        <v>69.972466599000001</v>
      </c>
      <c r="F37" s="3">
        <f t="shared" si="6"/>
        <v>87.061006273124903</v>
      </c>
      <c r="G37" s="3">
        <f t="shared" si="6"/>
        <v>102.11432010179503</v>
      </c>
    </row>
    <row r="38" spans="1:17" x14ac:dyDescent="0.3">
      <c r="A38" s="4" t="s">
        <v>47</v>
      </c>
      <c r="B38" s="3">
        <f t="shared" ref="B38:G38" si="7">B36-B37</f>
        <v>231.97300000000001</v>
      </c>
      <c r="C38" s="3">
        <f t="shared" si="7"/>
        <v>117.96332152500007</v>
      </c>
      <c r="D38" s="3">
        <f t="shared" si="7"/>
        <v>162.21434134500009</v>
      </c>
      <c r="E38" s="3">
        <f t="shared" si="7"/>
        <v>208.02700340100003</v>
      </c>
      <c r="F38" s="3">
        <f t="shared" si="7"/>
        <v>258.83095349296531</v>
      </c>
      <c r="G38" s="3">
        <f t="shared" si="7"/>
        <v>303.58421029866201</v>
      </c>
    </row>
    <row r="39" spans="1:17" x14ac:dyDescent="0.3">
      <c r="A39" s="28" t="s">
        <v>49</v>
      </c>
      <c r="B39" s="30">
        <f>B38/B29</f>
        <v>0.12471666666666667</v>
      </c>
      <c r="C39" s="30">
        <f t="shared" ref="C39:G39" si="8">C38/C29</f>
        <v>5.7655582368035217E-2</v>
      </c>
      <c r="D39" s="30">
        <f t="shared" si="8"/>
        <v>7.2076042541988836E-2</v>
      </c>
      <c r="E39" s="30">
        <f t="shared" si="8"/>
        <v>8.4799814198782464E-2</v>
      </c>
      <c r="F39" s="30">
        <f t="shared" si="8"/>
        <v>9.6797669596168257E-2</v>
      </c>
      <c r="G39" s="30">
        <f t="shared" si="8"/>
        <v>0.10512454130750801</v>
      </c>
    </row>
    <row r="41" spans="1:17" ht="13" x14ac:dyDescent="0.3">
      <c r="A41" s="33" t="s">
        <v>50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1:17" x14ac:dyDescent="0.3">
      <c r="C42" s="6" t="s">
        <v>62</v>
      </c>
      <c r="D42" s="6" t="s">
        <v>35</v>
      </c>
      <c r="E42" s="6" t="s">
        <v>36</v>
      </c>
      <c r="F42" s="6" t="s">
        <v>37</v>
      </c>
      <c r="G42" s="6" t="s">
        <v>38</v>
      </c>
      <c r="H42" s="6" t="s">
        <v>39</v>
      </c>
    </row>
    <row r="43" spans="1:17" x14ac:dyDescent="0.3">
      <c r="A43" s="38" t="s">
        <v>51</v>
      </c>
      <c r="B43" s="38"/>
    </row>
    <row r="44" spans="1:17" ht="14.5" x14ac:dyDescent="0.35">
      <c r="A44" s="4" t="s">
        <v>52</v>
      </c>
      <c r="B44"/>
      <c r="D44" s="1">
        <f>C48</f>
        <v>1251</v>
      </c>
      <c r="E44" s="3">
        <f>D48</f>
        <v>1125.9000000000001</v>
      </c>
      <c r="F44" s="3">
        <f>E48</f>
        <v>1000.8000000000001</v>
      </c>
      <c r="G44" s="3">
        <f>F48</f>
        <v>866.26924659899998</v>
      </c>
      <c r="H44" s="3">
        <f>G48</f>
        <v>675.93010894603469</v>
      </c>
    </row>
    <row r="45" spans="1:17" ht="14.5" x14ac:dyDescent="0.35">
      <c r="A45" s="5" t="s">
        <v>53</v>
      </c>
      <c r="B45"/>
      <c r="D45" s="3">
        <f>D44*B24</f>
        <v>112.58999999999999</v>
      </c>
      <c r="E45" s="3">
        <f>E44*B24</f>
        <v>101.331</v>
      </c>
      <c r="F45" s="3">
        <f>F44*B24</f>
        <v>90.072000000000003</v>
      </c>
      <c r="G45" s="3">
        <f>G44*B24</f>
        <v>77.964232193909993</v>
      </c>
      <c r="H45" s="1">
        <f>H44*B24</f>
        <v>60.833709805143123</v>
      </c>
    </row>
    <row r="46" spans="1:17" ht="14.5" x14ac:dyDescent="0.35">
      <c r="A46" s="5" t="s">
        <v>54</v>
      </c>
      <c r="B46"/>
      <c r="D46" s="3">
        <f>$C$19*0.1</f>
        <v>125.10000000000001</v>
      </c>
      <c r="E46" s="3">
        <f t="shared" ref="E46:H46" si="9">$C$19*0.1</f>
        <v>125.10000000000001</v>
      </c>
      <c r="F46" s="3">
        <f t="shared" si="9"/>
        <v>125.10000000000001</v>
      </c>
      <c r="G46" s="3">
        <f t="shared" si="9"/>
        <v>125.10000000000001</v>
      </c>
      <c r="H46" s="3">
        <f t="shared" si="9"/>
        <v>125.10000000000001</v>
      </c>
    </row>
    <row r="47" spans="1:17" ht="14.5" x14ac:dyDescent="0.35">
      <c r="A47" s="5" t="s">
        <v>55</v>
      </c>
      <c r="B47"/>
      <c r="D47" s="3">
        <f>MAX(MIN(D68-D46-D52,D44-D46),0)</f>
        <v>0</v>
      </c>
      <c r="E47" s="3">
        <f>MAX(MIN(E68-E46-E52,-E44-E46),0)</f>
        <v>0</v>
      </c>
      <c r="F47" s="3">
        <f>MAX(MIN(F64-F46-F52,F44-F46),0)</f>
        <v>9.4307534010000325</v>
      </c>
      <c r="G47" s="3">
        <f>MAX(MIN(G68-G46-G52,G44-G46),0)</f>
        <v>65.239137652965312</v>
      </c>
      <c r="H47" s="3">
        <f>MAX(MIN(H68-H46-H52,H44-H46),0)</f>
        <v>117.395031969062</v>
      </c>
    </row>
    <row r="48" spans="1:17" ht="14.5" x14ac:dyDescent="0.35">
      <c r="A48" s="4" t="s">
        <v>56</v>
      </c>
      <c r="B48"/>
      <c r="C48" s="10">
        <f>C19</f>
        <v>1251</v>
      </c>
      <c r="D48" s="12">
        <f>MAX(D44-D46-D47,0)</f>
        <v>1125.9000000000001</v>
      </c>
      <c r="E48" s="12">
        <f>MAX(E44-E46-E47,0)</f>
        <v>1000.8000000000001</v>
      </c>
      <c r="F48" s="12">
        <f>MAX(F44-F46-F47,0)</f>
        <v>866.26924659899998</v>
      </c>
      <c r="G48" s="12">
        <f>MAX(G44-G46-G47,0)</f>
        <v>675.93010894603469</v>
      </c>
      <c r="H48" s="12">
        <f>MAX(H44-H46-H47,0)</f>
        <v>433.43507697697265</v>
      </c>
    </row>
    <row r="49" spans="1:17" ht="14.5" x14ac:dyDescent="0.35">
      <c r="A49"/>
      <c r="B49"/>
    </row>
    <row r="50" spans="1:17" x14ac:dyDescent="0.3">
      <c r="A50" s="38" t="s">
        <v>57</v>
      </c>
      <c r="B50" s="38"/>
    </row>
    <row r="51" spans="1:17" ht="14.5" x14ac:dyDescent="0.35">
      <c r="A51" s="4" t="s">
        <v>52</v>
      </c>
      <c r="B51"/>
      <c r="D51" s="3">
        <f>C54</f>
        <v>625.5</v>
      </c>
      <c r="E51" s="3">
        <f>D54</f>
        <v>625.5</v>
      </c>
      <c r="F51" s="3">
        <f>E54</f>
        <v>625.5</v>
      </c>
      <c r="G51" s="3">
        <f>F54</f>
        <v>625.5</v>
      </c>
      <c r="H51" s="3">
        <f>G54</f>
        <v>625.5</v>
      </c>
    </row>
    <row r="52" spans="1:17" ht="14.5" x14ac:dyDescent="0.35">
      <c r="A52" s="5" t="s">
        <v>53</v>
      </c>
      <c r="B52"/>
      <c r="D52" s="3">
        <f>D51*B25</f>
        <v>73.496249999999989</v>
      </c>
      <c r="E52" s="3">
        <f>E51*B25</f>
        <v>73.496249999999989</v>
      </c>
      <c r="F52" s="3">
        <f>F51*B25</f>
        <v>73.496249999999989</v>
      </c>
      <c r="G52" s="3">
        <f>G51*B25</f>
        <v>73.496249999999989</v>
      </c>
      <c r="H52" s="3">
        <f>H51*B25</f>
        <v>73.496249999999989</v>
      </c>
    </row>
    <row r="53" spans="1:17" ht="14.5" x14ac:dyDescent="0.35">
      <c r="A53" s="5" t="s">
        <v>58</v>
      </c>
      <c r="B53"/>
      <c r="D53" s="1">
        <v>0</v>
      </c>
      <c r="E53" s="1">
        <v>0</v>
      </c>
      <c r="F53" s="1">
        <v>0</v>
      </c>
      <c r="G53" s="1">
        <v>0</v>
      </c>
      <c r="H53" s="3">
        <f>H51</f>
        <v>625.5</v>
      </c>
    </row>
    <row r="54" spans="1:17" ht="14.5" x14ac:dyDescent="0.35">
      <c r="A54" s="4" t="s">
        <v>56</v>
      </c>
      <c r="B54"/>
      <c r="C54" s="12">
        <f>C20</f>
        <v>625.5</v>
      </c>
      <c r="D54" s="12">
        <f>C54</f>
        <v>625.5</v>
      </c>
      <c r="E54" s="12">
        <f>D54</f>
        <v>625.5</v>
      </c>
      <c r="F54" s="12">
        <f>E54</f>
        <v>625.5</v>
      </c>
      <c r="G54" s="12">
        <f>F54</f>
        <v>625.5</v>
      </c>
      <c r="H54" s="12">
        <f>MAX(H51-H53,0)</f>
        <v>0</v>
      </c>
    </row>
    <row r="55" spans="1:17" ht="14.5" x14ac:dyDescent="0.35">
      <c r="A55"/>
      <c r="B55"/>
    </row>
    <row r="56" spans="1:17" x14ac:dyDescent="0.3">
      <c r="A56" s="37" t="s">
        <v>59</v>
      </c>
      <c r="B56" s="37"/>
    </row>
    <row r="57" spans="1:17" ht="14.5" x14ac:dyDescent="0.35">
      <c r="A57" s="4" t="s">
        <v>52</v>
      </c>
      <c r="B57"/>
      <c r="D57" s="3">
        <f t="shared" ref="D57:H58" si="10">D44+D51</f>
        <v>1876.5</v>
      </c>
      <c r="E57" s="3">
        <f t="shared" si="10"/>
        <v>1751.4</v>
      </c>
      <c r="F57" s="3">
        <f t="shared" si="10"/>
        <v>1626.3000000000002</v>
      </c>
      <c r="G57" s="3">
        <f t="shared" si="10"/>
        <v>1491.7692465989999</v>
      </c>
      <c r="H57" s="3">
        <f t="shared" si="10"/>
        <v>1301.4301089460346</v>
      </c>
    </row>
    <row r="58" spans="1:17" ht="14.5" x14ac:dyDescent="0.35">
      <c r="A58" s="4" t="s">
        <v>60</v>
      </c>
      <c r="B58"/>
      <c r="D58" s="3">
        <f t="shared" si="10"/>
        <v>186.08624999999998</v>
      </c>
      <c r="E58" s="3">
        <f t="shared" si="10"/>
        <v>174.82724999999999</v>
      </c>
      <c r="F58" s="3">
        <f t="shared" si="10"/>
        <v>163.56824999999998</v>
      </c>
      <c r="G58" s="3">
        <f t="shared" si="10"/>
        <v>151.46048219390997</v>
      </c>
      <c r="H58" s="3">
        <f t="shared" si="10"/>
        <v>134.32995980514312</v>
      </c>
    </row>
    <row r="59" spans="1:17" ht="14.5" x14ac:dyDescent="0.35">
      <c r="A59" s="4" t="s">
        <v>61</v>
      </c>
      <c r="B59"/>
      <c r="C59" s="3"/>
      <c r="D59" s="3">
        <f>D46+D47+D53</f>
        <v>125.10000000000001</v>
      </c>
      <c r="E59" s="3">
        <f>E46+E47+E53</f>
        <v>125.10000000000001</v>
      </c>
      <c r="F59" s="3">
        <f>F46+F47+F53</f>
        <v>134.53075340100003</v>
      </c>
      <c r="G59" s="3">
        <f>G46+G47+G53</f>
        <v>190.33913765296532</v>
      </c>
      <c r="H59" s="3">
        <f>H46+H47+H53</f>
        <v>867.99503196906198</v>
      </c>
    </row>
    <row r="60" spans="1:17" ht="14.5" x14ac:dyDescent="0.35">
      <c r="A60" s="4" t="s">
        <v>56</v>
      </c>
      <c r="B60"/>
      <c r="C60" s="12">
        <f t="shared" ref="C60:H60" si="11">C48+C54</f>
        <v>1876.5</v>
      </c>
      <c r="D60" s="12">
        <f t="shared" si="11"/>
        <v>1751.4</v>
      </c>
      <c r="E60" s="12">
        <f t="shared" si="11"/>
        <v>1626.3000000000002</v>
      </c>
      <c r="F60" s="12">
        <f t="shared" si="11"/>
        <v>1491.7692465989999</v>
      </c>
      <c r="G60" s="12">
        <f t="shared" si="11"/>
        <v>1301.4301089460346</v>
      </c>
      <c r="H60" s="12">
        <f t="shared" si="11"/>
        <v>433.43507697697265</v>
      </c>
    </row>
    <row r="62" spans="1:17" ht="13" x14ac:dyDescent="0.3">
      <c r="A62" s="33" t="s">
        <v>65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 spans="1:17" x14ac:dyDescent="0.3">
      <c r="C63" s="6" t="s">
        <v>62</v>
      </c>
      <c r="D63" s="6" t="s">
        <v>35</v>
      </c>
      <c r="E63" s="6" t="s">
        <v>36</v>
      </c>
      <c r="F63" s="6" t="s">
        <v>37</v>
      </c>
      <c r="G63" s="6" t="s">
        <v>38</v>
      </c>
      <c r="H63" s="6" t="s">
        <v>39</v>
      </c>
    </row>
    <row r="64" spans="1:17" x14ac:dyDescent="0.3">
      <c r="A64" s="5" t="s">
        <v>66</v>
      </c>
      <c r="C64" s="3">
        <f t="shared" ref="C64:H64" si="12">B38</f>
        <v>231.97300000000001</v>
      </c>
      <c r="D64" s="3">
        <f t="shared" si="12"/>
        <v>117.96332152500007</v>
      </c>
      <c r="E64" s="3">
        <f t="shared" si="12"/>
        <v>162.21434134500009</v>
      </c>
      <c r="F64" s="3">
        <f t="shared" si="12"/>
        <v>208.02700340100003</v>
      </c>
      <c r="G64" s="3">
        <f t="shared" si="12"/>
        <v>258.83095349296531</v>
      </c>
      <c r="H64" s="3">
        <f t="shared" si="12"/>
        <v>303.58421029866201</v>
      </c>
    </row>
    <row r="65" spans="1:17" x14ac:dyDescent="0.3">
      <c r="A65" s="5" t="s">
        <v>67</v>
      </c>
      <c r="C65" s="3">
        <f>B33</f>
        <v>107</v>
      </c>
      <c r="D65" s="3">
        <f>C33</f>
        <v>116.62200000000001</v>
      </c>
      <c r="E65" s="3">
        <f t="shared" ref="E65:H65" si="13">D33</f>
        <v>126.03360000000002</v>
      </c>
      <c r="F65" s="3">
        <f>E33</f>
        <v>134.92347000000004</v>
      </c>
      <c r="G65" s="3">
        <f t="shared" si="13"/>
        <v>144.39264444000005</v>
      </c>
      <c r="H65" s="3">
        <f t="shared" si="13"/>
        <v>153.05620310640003</v>
      </c>
    </row>
    <row r="66" spans="1:17" x14ac:dyDescent="0.3">
      <c r="A66" s="5" t="s">
        <v>68</v>
      </c>
      <c r="C66" s="3">
        <f>B29*E9</f>
        <v>111.6</v>
      </c>
      <c r="D66" s="3">
        <f>C29*E9</f>
        <v>122.76</v>
      </c>
      <c r="E66" s="3">
        <f t="shared" ref="E66:H66" si="14">D29*F9</f>
        <v>123.78300000000002</v>
      </c>
      <c r="F66" s="3">
        <f t="shared" si="14"/>
        <v>122.65770000000003</v>
      </c>
      <c r="G66" s="3">
        <f t="shared" si="14"/>
        <v>128.34901728000006</v>
      </c>
      <c r="H66" s="3">
        <f t="shared" si="14"/>
        <v>129.95337999600005</v>
      </c>
    </row>
    <row r="67" spans="1:17" x14ac:dyDescent="0.3">
      <c r="A67" s="5" t="s">
        <v>69</v>
      </c>
      <c r="C67" s="3">
        <f>0</f>
        <v>0</v>
      </c>
      <c r="D67" s="3">
        <f>(C29-B29)*E10</f>
        <v>9.3000000000000114</v>
      </c>
      <c r="E67" s="3">
        <f t="shared" ref="E67:H67" si="15">(D29-C29)*F10</f>
        <v>10.230000000000008</v>
      </c>
      <c r="F67" s="3">
        <f t="shared" si="15"/>
        <v>10.127700000000004</v>
      </c>
      <c r="G67" s="3">
        <f t="shared" si="15"/>
        <v>11.039193000000024</v>
      </c>
      <c r="H67" s="3">
        <f t="shared" si="15"/>
        <v>10.695751440000004</v>
      </c>
    </row>
    <row r="68" spans="1:17" x14ac:dyDescent="0.3">
      <c r="A68" s="4" t="s">
        <v>70</v>
      </c>
      <c r="C68" s="12">
        <f t="shared" ref="C68:H68" si="16">C64+C65-C66-C67</f>
        <v>227.37300000000002</v>
      </c>
      <c r="D68" s="12">
        <f t="shared" si="16"/>
        <v>102.52532152500008</v>
      </c>
      <c r="E68" s="12">
        <f t="shared" si="16"/>
        <v>154.2349413450001</v>
      </c>
      <c r="F68" s="12">
        <f t="shared" si="16"/>
        <v>210.16507340100003</v>
      </c>
      <c r="G68" s="12">
        <f t="shared" si="16"/>
        <v>263.83538765296532</v>
      </c>
      <c r="H68" s="12">
        <f t="shared" si="16"/>
        <v>315.99128196906202</v>
      </c>
    </row>
    <row r="70" spans="1:17" ht="13" x14ac:dyDescent="0.3">
      <c r="A70" s="33" t="s">
        <v>71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</row>
    <row r="71" spans="1:17" x14ac:dyDescent="0.3">
      <c r="C71" s="6" t="s">
        <v>62</v>
      </c>
      <c r="D71" s="6" t="s">
        <v>35</v>
      </c>
      <c r="E71" s="6" t="s">
        <v>36</v>
      </c>
      <c r="F71" s="6" t="s">
        <v>37</v>
      </c>
      <c r="G71" s="6" t="s">
        <v>38</v>
      </c>
      <c r="H71" s="6" t="s">
        <v>39</v>
      </c>
    </row>
    <row r="72" spans="1:17" x14ac:dyDescent="0.3">
      <c r="A72" s="5" t="s">
        <v>72</v>
      </c>
      <c r="C72" s="1">
        <f>B31</f>
        <v>417</v>
      </c>
      <c r="D72" s="1">
        <f t="shared" ref="D72:E72" si="17">C31</f>
        <v>460.35000000000008</v>
      </c>
      <c r="E72" s="1">
        <f t="shared" si="17"/>
        <v>517.63800000000015</v>
      </c>
      <c r="F72" s="3">
        <f>E31</f>
        <v>576.49119000000007</v>
      </c>
      <c r="G72" s="3">
        <f>F31</f>
        <v>641.74508640000022</v>
      </c>
      <c r="H72" s="3">
        <f>G31</f>
        <v>693.08469331200024</v>
      </c>
    </row>
    <row r="73" spans="1:17" x14ac:dyDescent="0.3">
      <c r="A73" s="5" t="s">
        <v>73</v>
      </c>
      <c r="C73" s="2">
        <f>$B$15</f>
        <v>9</v>
      </c>
      <c r="D73" s="2">
        <f t="shared" ref="D73:H73" si="18">$B$15</f>
        <v>9</v>
      </c>
      <c r="E73" s="2">
        <f t="shared" si="18"/>
        <v>9</v>
      </c>
      <c r="F73" s="2">
        <f t="shared" si="18"/>
        <v>9</v>
      </c>
      <c r="G73" s="2">
        <f t="shared" si="18"/>
        <v>9</v>
      </c>
      <c r="H73" s="2">
        <f t="shared" si="18"/>
        <v>9</v>
      </c>
    </row>
    <row r="74" spans="1:17" x14ac:dyDescent="0.3">
      <c r="A74" s="4" t="s">
        <v>74</v>
      </c>
      <c r="C74" s="1">
        <f>C72*C73</f>
        <v>3753</v>
      </c>
      <c r="D74" s="1">
        <f t="shared" ref="D74:H74" si="19">D72*D73</f>
        <v>4143.1500000000005</v>
      </c>
      <c r="E74" s="1">
        <f t="shared" si="19"/>
        <v>4658.7420000000011</v>
      </c>
      <c r="F74" s="1">
        <f t="shared" si="19"/>
        <v>5188.4207100000003</v>
      </c>
      <c r="G74" s="1">
        <f t="shared" si="19"/>
        <v>5775.705777600002</v>
      </c>
      <c r="H74" s="3">
        <f t="shared" si="19"/>
        <v>6237.7622398080021</v>
      </c>
    </row>
    <row r="75" spans="1:17" x14ac:dyDescent="0.3">
      <c r="A75" s="5" t="s">
        <v>75</v>
      </c>
      <c r="C75" s="3">
        <f>C60</f>
        <v>1876.5</v>
      </c>
      <c r="D75" s="3">
        <f t="shared" ref="D75:H75" si="20">D60</f>
        <v>1751.4</v>
      </c>
      <c r="E75" s="3">
        <f t="shared" si="20"/>
        <v>1626.3000000000002</v>
      </c>
      <c r="F75" s="3">
        <f t="shared" si="20"/>
        <v>1491.7692465989999</v>
      </c>
      <c r="G75" s="3">
        <f t="shared" si="20"/>
        <v>1301.4301089460346</v>
      </c>
      <c r="H75" s="3">
        <f t="shared" si="20"/>
        <v>433.43507697697265</v>
      </c>
    </row>
    <row r="76" spans="1:17" x14ac:dyDescent="0.3">
      <c r="A76" s="4" t="s">
        <v>76</v>
      </c>
      <c r="C76" s="12">
        <f>MAX(C74-C75,0)</f>
        <v>1876.5</v>
      </c>
      <c r="D76" s="12">
        <f t="shared" ref="D76:H76" si="21">MAX(D74-D75,0)</f>
        <v>2391.7500000000005</v>
      </c>
      <c r="E76" s="12">
        <f t="shared" si="21"/>
        <v>3032.4420000000009</v>
      </c>
      <c r="F76" s="12">
        <f t="shared" si="21"/>
        <v>3696.6514634010005</v>
      </c>
      <c r="G76" s="12">
        <f t="shared" si="21"/>
        <v>4474.2756686539669</v>
      </c>
      <c r="H76" s="12">
        <f t="shared" si="21"/>
        <v>5804.3271628310295</v>
      </c>
    </row>
    <row r="78" spans="1:17" x14ac:dyDescent="0.3">
      <c r="A78" s="4" t="s">
        <v>77</v>
      </c>
      <c r="D78" s="14">
        <f>D76/$C$22</f>
        <v>1.4050315019606117</v>
      </c>
      <c r="E78" s="14">
        <f t="shared" ref="E78:H78" si="22">E76/$C$22</f>
        <v>1.7814054720888228</v>
      </c>
      <c r="F78" s="14">
        <f>F76/$C$22</f>
        <v>2.1715947560770146</v>
      </c>
      <c r="G78" s="14">
        <f t="shared" si="22"/>
        <v>2.6284094336426058</v>
      </c>
      <c r="H78" s="14">
        <f t="shared" si="22"/>
        <v>3.4097470519340467</v>
      </c>
    </row>
    <row r="79" spans="1:17" x14ac:dyDescent="0.3">
      <c r="A79" s="4" t="s">
        <v>78</v>
      </c>
      <c r="D79" s="13">
        <f>(D76/$C$22)^(1/1)-1</f>
        <v>0.40503150196061166</v>
      </c>
      <c r="E79" s="13">
        <f>(E76/$C$22)^(1/2)-1</f>
        <v>0.33469302541401746</v>
      </c>
      <c r="F79" s="13">
        <f>(F76/$C$22)^(1/3)-1</f>
        <v>0.29496966403835989</v>
      </c>
      <c r="G79" s="13">
        <f>(G76/$C$22)^(1/4)-1</f>
        <v>0.27327805574407504</v>
      </c>
      <c r="H79" s="13">
        <f>(H76/$C$22)^(1/5)-1</f>
        <v>0.27803995868741183</v>
      </c>
    </row>
  </sheetData>
  <mergeCells count="12">
    <mergeCell ref="A70:Q70"/>
    <mergeCell ref="A1:Q2"/>
    <mergeCell ref="A4:Q4"/>
    <mergeCell ref="A5:B5"/>
    <mergeCell ref="D5:I5"/>
    <mergeCell ref="A62:Q62"/>
    <mergeCell ref="A56:B56"/>
    <mergeCell ref="A17:Q17"/>
    <mergeCell ref="A27:Q27"/>
    <mergeCell ref="A41:Q41"/>
    <mergeCell ref="A43:B43"/>
    <mergeCell ref="A50:B50"/>
  </mergeCells>
  <pageMargins left="0.7" right="0.7" top="0.75" bottom="0.75" header="0.3" footer="0.3"/>
  <ignoredErrors>
    <ignoredError sqref="B13 B37:C37 D37:G37 C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   JAIN</dc:creator>
  <cp:lastModifiedBy>PRATHA   JAIN</cp:lastModifiedBy>
  <dcterms:created xsi:type="dcterms:W3CDTF">2026-06-10T05:02:04Z</dcterms:created>
  <dcterms:modified xsi:type="dcterms:W3CDTF">2026-06-10T13:45:19Z</dcterms:modified>
</cp:coreProperties>
</file>